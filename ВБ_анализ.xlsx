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_Report_Data" sheetId="1" r:id="rId5"/>
    <sheet state="visible" name="Дашборд" sheetId="2" r:id="rId6"/>
  </sheets>
  <definedNames>
    <definedName hidden="1" localSheetId="0" name="_xlnm._FilterDatabase">WB_Report_Data!$A$1:$AS$12</definedName>
  </definedNames>
  <calcPr/>
</workbook>
</file>

<file path=xl/sharedStrings.xml><?xml version="1.0" encoding="utf-8"?>
<sst xmlns="http://schemas.openxmlformats.org/spreadsheetml/2006/main" count="164" uniqueCount="147">
  <si>
    <t>SKU</t>
  </si>
  <si>
    <t>Название товара</t>
  </si>
  <si>
    <t>Цена продажи</t>
  </si>
  <si>
    <t>Продажи (шт)</t>
  </si>
  <si>
    <t>Возвраты (шт)</t>
  </si>
  <si>
    <t>Чистые продажи (шт)</t>
  </si>
  <si>
    <t>Выручка</t>
  </si>
  <si>
    <t>Комиссия WB</t>
  </si>
  <si>
    <t xml:space="preserve">Комиссия WB за единицу </t>
  </si>
  <si>
    <t>Логистика</t>
  </si>
  <si>
    <t>Хранение</t>
  </si>
  <si>
    <t>Реклама</t>
  </si>
  <si>
    <t>Себестоимость</t>
  </si>
  <si>
    <t>Полная себестоимость</t>
  </si>
  <si>
    <t>Прибыль с единицы</t>
  </si>
  <si>
    <t>Общая прибыль</t>
  </si>
  <si>
    <t>Маржинальность</t>
  </si>
  <si>
    <t>CTR рекламы</t>
  </si>
  <si>
    <t>CPC</t>
  </si>
  <si>
    <t>ACOS</t>
  </si>
  <si>
    <t>Просмотры</t>
  </si>
  <si>
    <t>Клики</t>
  </si>
  <si>
    <t>Заказы</t>
  </si>
  <si>
    <t>Конверсия</t>
  </si>
  <si>
    <t>Остаток на складе</t>
  </si>
  <si>
    <t>Дни хранения</t>
  </si>
  <si>
    <t>Рейтинг</t>
  </si>
  <si>
    <t>Отзывы</t>
  </si>
  <si>
    <t>Статус прибыли</t>
  </si>
  <si>
    <t>статус рекламы</t>
  </si>
  <si>
    <t>Оборачиваемость</t>
  </si>
  <si>
    <t>Доля прибыли</t>
  </si>
  <si>
    <t xml:space="preserve">Накопительная доля </t>
  </si>
  <si>
    <t>Категория ABC</t>
  </si>
  <si>
    <t>Рекомендации</t>
  </si>
  <si>
    <t>Новая цена</t>
  </si>
  <si>
    <t>Новая выручка</t>
  </si>
  <si>
    <t>Новый ACOS</t>
  </si>
  <si>
    <t>Новые рекламные расходы</t>
  </si>
  <si>
    <t>Новая комиссия WB</t>
  </si>
  <si>
    <t>Новая прибыль</t>
  </si>
  <si>
    <t>Рост прибыли</t>
  </si>
  <si>
    <t xml:space="preserve">Решение </t>
  </si>
  <si>
    <t>Приоритет  инвестиций</t>
  </si>
  <si>
    <t>Числовой приоритет</t>
  </si>
  <si>
    <t>SKU004</t>
  </si>
  <si>
    <t>Resistance Bands</t>
  </si>
  <si>
    <t>400</t>
  </si>
  <si>
    <t>0.05</t>
  </si>
  <si>
    <t>300</t>
  </si>
  <si>
    <t>20</t>
  </si>
  <si>
    <t>4.8</t>
  </si>
  <si>
    <t>SKU009</t>
  </si>
  <si>
    <t>Skipping Rope</t>
  </si>
  <si>
    <t>250</t>
  </si>
  <si>
    <t>0.06</t>
  </si>
  <si>
    <t>15</t>
  </si>
  <si>
    <t>4.3</t>
  </si>
  <si>
    <t>SKU005</t>
  </si>
  <si>
    <t>Sports Towel</t>
  </si>
  <si>
    <t>0.03</t>
  </si>
  <si>
    <t>18</t>
  </si>
  <si>
    <t>4.4</t>
  </si>
  <si>
    <t>SKU010</t>
  </si>
  <si>
    <t>Massage Ball</t>
  </si>
  <si>
    <t>200</t>
  </si>
  <si>
    <t>350</t>
  </si>
  <si>
    <t>16</t>
  </si>
  <si>
    <t>SKU003</t>
  </si>
  <si>
    <t>Thermal Mug</t>
  </si>
  <si>
    <t>650</t>
  </si>
  <si>
    <t>35</t>
  </si>
  <si>
    <t>4.5</t>
  </si>
  <si>
    <t>SKU001</t>
  </si>
  <si>
    <t>Fitness Bottle</t>
  </si>
  <si>
    <t>800</t>
  </si>
  <si>
    <t>150</t>
  </si>
  <si>
    <t>30</t>
  </si>
  <si>
    <t>4.6</t>
  </si>
  <si>
    <t>SKU008</t>
  </si>
  <si>
    <t>Gym Gloves</t>
  </si>
  <si>
    <t>550</t>
  </si>
  <si>
    <t>210</t>
  </si>
  <si>
    <t>21</t>
  </si>
  <si>
    <t>SKU006</t>
  </si>
  <si>
    <t>Protein Shaker</t>
  </si>
  <si>
    <t>700</t>
  </si>
  <si>
    <t>180</t>
  </si>
  <si>
    <t>27</t>
  </si>
  <si>
    <t>SKU007</t>
  </si>
  <si>
    <t>Foam Roller</t>
  </si>
  <si>
    <t>950</t>
  </si>
  <si>
    <t>0.04</t>
  </si>
  <si>
    <t>140</t>
  </si>
  <si>
    <t>32</t>
  </si>
  <si>
    <t>4.7</t>
  </si>
  <si>
    <t>SKU002</t>
  </si>
  <si>
    <t>Yoga Mat</t>
  </si>
  <si>
    <t>1100</t>
  </si>
  <si>
    <t>120</t>
  </si>
  <si>
    <t>25</t>
  </si>
  <si>
    <t>Аналитика продаж,прибыльноси и  эффективности рекламы товаров на маркетплейсе</t>
  </si>
  <si>
    <t>Цель: выявить прибыльные товары, оптимизировать рекламу  и определить точки роста прибыли</t>
  </si>
  <si>
    <t>Меодология анализа</t>
  </si>
  <si>
    <t>Расчет unit-экономики товаров(выручка, себестоимость, прибыль)</t>
  </si>
  <si>
    <t>Анализ эффективности рекламы(CTR, CPC, ACOS)</t>
  </si>
  <si>
    <t>Анализ воронки продаж  (просмотры - уклики- заказы)</t>
  </si>
  <si>
    <t>АВС- анализ ассортимента по доле прибыли</t>
  </si>
  <si>
    <t>Pareto-анализ для выявления ключевых товаров</t>
  </si>
  <si>
    <t>Модель роста прибыли (изменение  цены и ACOS)</t>
  </si>
  <si>
    <t>Формирование матрицы решений  по SKU</t>
  </si>
  <si>
    <t>Описание данных</t>
  </si>
  <si>
    <t>SKU - уникальный индефикатор товаров</t>
  </si>
  <si>
    <t>Цена продажи - цена товара на маркетплейсе</t>
  </si>
  <si>
    <t>Продажи - количество проданных товаров</t>
  </si>
  <si>
    <t>Возвраты- количество возвратов</t>
  </si>
  <si>
    <t>Выручка - общий оборот по товару</t>
  </si>
  <si>
    <t>Комиссия WB - комиссия мапкетплейса</t>
  </si>
  <si>
    <t>Логистика и хранение - расходы на доставку и хранение товара</t>
  </si>
  <si>
    <t>Реламные расходы - затраты на продвижение</t>
  </si>
  <si>
    <t>Просмтры, клики, заказы  - данные воронки продаж</t>
  </si>
  <si>
    <t>Рейтинг и отзывы - показатели качества товара</t>
  </si>
  <si>
    <t>Данные являются тестовыми и используются для демонстрации  аналиического подхода</t>
  </si>
  <si>
    <t>Краткое резюме анализа:</t>
  </si>
  <si>
    <t>Общая выручка 4 089 300</t>
  </si>
  <si>
    <t>Общая прибыль 724 236</t>
  </si>
  <si>
    <t>Средняя маржинальность 17,9%</t>
  </si>
  <si>
    <t>Средний ACOS 6,7%</t>
  </si>
  <si>
    <t>Оснавная прибыль сосредоточена в товарах категории А. Оптимизация реклама и корректировка цен позволит увеличить прибыль по SKU на 22-43 %</t>
  </si>
  <si>
    <t>1. Увеличить рекламный бюджет для товаров категори А с высокой маржинальностью</t>
  </si>
  <si>
    <t>2.Для товаров с низкой маржинальностью  протестировать изменение цены или оптимизацию себестомости.</t>
  </si>
  <si>
    <t>2. Регулярно отсеживать ACOS и перераспределять  рекламный бюджет в пользу наиболее прибыльных SKU</t>
  </si>
  <si>
    <t>Аналитические выводы</t>
  </si>
  <si>
    <t>№</t>
  </si>
  <si>
    <t>Вывод</t>
  </si>
  <si>
    <t>Эти SKU формируют более 60–70% общей прибыли.</t>
  </si>
  <si>
    <t>Эти SKU формируют более 60–70% общей прибыли.  эти товары необходимо маштабировать за счет увеличения рекламного бюджета</t>
  </si>
  <si>
    <t>Расчеты показали при увеличении цены на 5 % и оптимизаци ACOS на 20 % прибыль может увеличиться по  SKU на 22-43 %</t>
  </si>
  <si>
    <t>SKU004, SKU009, SKU005 и SKU010 имеют высокую маржинальность и
эффективную рекламу.  Для этих товаров необходимо проверить спрос, оптимизировать цену или пересмотреть себестоимость</t>
  </si>
  <si>
    <t>Средний Acos равен 6,7 %, что значительно ниже средней маржинальности ассоримента 17,9% . Это означает, что реклама работает эффективно и не съедает  прибыль</t>
  </si>
  <si>
    <t>Итог анализа</t>
  </si>
  <si>
    <t>В результате провденного анализа была построена модель unit-экономики  товаров,  дана оценка эффективности рекламных кампаний и провден  АВС- анализ ассортимента.</t>
  </si>
  <si>
    <t>Определены ключевые товары, формирующие основную долю прибыли, а также выявлены  товары с потенциалом роста.</t>
  </si>
  <si>
    <t>Модель оптимизации рекламных расходов (ACOS) и корректировка  ценовой стратегии показала способность увеличить прибыль по отдельным SKU на 22-43 %</t>
  </si>
  <si>
    <t>На основе анализа  сформирована матрица рещений, позволящая определить товары для маштабирования и оптимизации рекламного бюджета.</t>
  </si>
  <si>
    <t>Общая выручка</t>
  </si>
  <si>
    <t>Средняя маржинальность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</si>
</sst>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прибыли по SKU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WB_Report_Data!$A$1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WB_Report_Data!$A$2:$A$11</c:f>
              <c:numCache/>
            </c:numRef>
          </c:val>
        </c:ser>
        <c:ser>
          <c:idx val="1"/>
          <c:order val="1"/>
          <c:tx>
            <c:strRef>
              <c:f>WB_Report_Data!$P$1</c:f>
            </c:strRef>
          </c:tx>
          <c:val>
            <c:numRef>
              <c:f>WB_Report_Data!$P$2:$P$11</c:f>
              <c:numCache/>
            </c:numRef>
          </c:val>
        </c:ser>
        <c:axId val="1205335852"/>
        <c:axId val="950424047"/>
      </c:barChart>
      <c:catAx>
        <c:axId val="1205335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424047"/>
      </c:catAx>
      <c:valAx>
        <c:axId val="950424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5335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ABC-диаграмма (Парето)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WB_Report_Data!$A$1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WB_Report_Data!$A$2:$A$11</c:f>
              <c:numCache/>
            </c:numRef>
          </c:val>
        </c:ser>
        <c:axId val="1608008664"/>
        <c:axId val="1628174897"/>
      </c:barChart>
      <c:catAx>
        <c:axId val="1608008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174897"/>
      </c:catAx>
      <c:valAx>
        <c:axId val="1628174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008664"/>
      </c:valAx>
      <c:lineChart>
        <c:varyColors val="0"/>
        <c:ser>
          <c:idx val="1"/>
          <c:order val="1"/>
          <c:tx>
            <c:strRef>
              <c:f>WB_Report_Data!$P$1</c:f>
            </c:strRef>
          </c:tx>
          <c:spPr>
            <a:ln cmpd="sng">
              <a:solidFill>
                <a:srgbClr val="C0504D"/>
              </a:solidFill>
              <a:prstDash val="solid"/>
            </a:ln>
          </c:spPr>
          <c:marker>
            <c:symbol val="none"/>
          </c:marker>
          <c:val>
            <c:numRef>
              <c:f>WB_Report_Data!$P$2:$P$11</c:f>
              <c:numCache/>
            </c:numRef>
          </c:val>
          <c:smooth val="0"/>
        </c:ser>
        <c:axId val="294991059"/>
        <c:axId val="108042762"/>
      </c:lineChart>
      <c:catAx>
        <c:axId val="2949910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42762"/>
      </c:catAx>
      <c:valAx>
        <c:axId val="1080427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9910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Воронка продаж</a:t>
            </a:r>
          </a:p>
        </c:rich>
      </c:tx>
      <c:overlay val="0"/>
    </c:title>
    <c:plotArea>
      <c:layout/>
      <c:barChart>
        <c:barDir val="col"/>
        <c:grouping val="stacked"/>
        <c:ser>
          <c:idx val="1"/>
          <c:order val="1"/>
          <c:tx>
            <c:strRef>
              <c:f>WB_Report_Data!$U$1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WB_Report_Data!$U$2:$U$11</c:f>
              <c:numCache/>
            </c:numRef>
          </c:val>
        </c:ser>
        <c:ser>
          <c:idx val="2"/>
          <c:order val="2"/>
          <c:tx>
            <c:strRef>
              <c:f>WB_Report_Data!$V$1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WB_Report_Data!$V$2:$V$11</c:f>
              <c:numCache/>
            </c:numRef>
          </c:val>
        </c:ser>
        <c:ser>
          <c:idx val="3"/>
          <c:order val="3"/>
          <c:tx>
            <c:strRef>
              <c:f>WB_Report_Data!$W$1</c:f>
            </c:strRef>
          </c:tx>
          <c:val>
            <c:numRef>
              <c:f>WB_Report_Data!$W$2:$W$11</c:f>
              <c:numCache/>
            </c:numRef>
          </c:val>
        </c:ser>
        <c:overlap val="100"/>
        <c:axId val="77983775"/>
        <c:axId val="1482870054"/>
      </c:barChart>
      <c:catAx>
        <c:axId val="77983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870054"/>
      </c:catAx>
      <c:valAx>
        <c:axId val="1482870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83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Эффективность рекламы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WB_Report_Data!$T$1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WB_Report_Data!$A$2:$A$11</c:f>
            </c:strRef>
          </c:cat>
          <c:val>
            <c:numRef>
              <c:f>WB_Report_Data!$T$2:$T$11</c:f>
              <c:numCache/>
            </c:numRef>
          </c:val>
        </c:ser>
        <c:axId val="295656485"/>
        <c:axId val="352842930"/>
      </c:barChart>
      <c:catAx>
        <c:axId val="295656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SKU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842930"/>
      </c:catAx>
      <c:valAx>
        <c:axId val="352842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656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матрица SKU (матрицу прибыли и рекламы)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WB_Report_Data!$T$1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3"/>
            <c:marker>
              <c:symbol val="none"/>
            </c:marker>
          </c:dPt>
          <c:dPt>
            <c:idx val="9"/>
            <c:marker>
              <c:symbol val="none"/>
            </c:marker>
          </c:dPt>
          <c:xVal>
            <c:numRef>
              <c:f>WB_Report_Data!$Q$2:$Q$11</c:f>
            </c:numRef>
          </c:xVal>
          <c:yVal>
            <c:numRef>
              <c:f>WB_Report_Data!$T$2:$T$11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920256"/>
        <c:axId val="100141169"/>
      </c:scatterChart>
      <c:valAx>
        <c:axId val="8889202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Маржинальность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41169"/>
      </c:valAx>
      <c:valAx>
        <c:axId val="100141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9202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53</xdr:row>
      <xdr:rowOff>95250</xdr:rowOff>
    </xdr:from>
    <xdr:ext cx="7800975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19050</xdr:colOff>
      <xdr:row>53</xdr:row>
      <xdr:rowOff>95250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371475</xdr:colOff>
      <xdr:row>73</xdr:row>
      <xdr:rowOff>66675</xdr:rowOff>
    </xdr:from>
    <xdr:ext cx="7743825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19050</xdr:colOff>
      <xdr:row>73</xdr:row>
      <xdr:rowOff>133350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304800</xdr:colOff>
      <xdr:row>93</xdr:row>
      <xdr:rowOff>57150</xdr:rowOff>
    </xdr:from>
    <xdr:ext cx="7743825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57"/>
    <col customWidth="1" min="4" max="4" width="9.86"/>
    <col customWidth="1" min="5" max="5" width="9.43"/>
    <col customWidth="1" min="6" max="6" width="10.57"/>
    <col customWidth="1" min="7" max="7" width="9.71"/>
    <col customWidth="1" min="8" max="8" width="12.57"/>
    <col customWidth="1" min="9" max="9" width="11.57"/>
    <col customWidth="1" min="10" max="10" width="10.57"/>
    <col customWidth="1" min="11" max="11" width="10.43"/>
    <col customWidth="1" min="12" max="12" width="10.29"/>
    <col customWidth="1" min="13" max="13" width="11.43"/>
    <col customWidth="1" min="14" max="14" width="10.71"/>
    <col customWidth="1" min="15" max="15" width="10.57"/>
    <col customWidth="1" min="16" max="16" width="10.43"/>
    <col customWidth="1" min="17" max="17" width="10.0"/>
    <col customWidth="1" min="18" max="18" width="9.71"/>
    <col customWidth="1" min="19" max="19" width="9.0"/>
    <col customWidth="1" min="20" max="20" width="11.57"/>
    <col customWidth="1" min="21" max="21" width="9.86"/>
    <col customWidth="1" min="22" max="22" width="9.57"/>
    <col customWidth="1" min="23" max="23" width="9.14"/>
    <col customWidth="1" min="24" max="24" width="11.0"/>
    <col customWidth="1" min="25" max="28" width="11.57"/>
    <col customWidth="1" min="29" max="29" width="20.71"/>
    <col customWidth="1" min="30" max="30" width="22.14"/>
    <col customWidth="1" min="31" max="34" width="16.71"/>
    <col customWidth="1" min="35" max="45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>
      <c r="A2" s="3" t="s">
        <v>45</v>
      </c>
      <c r="B2" s="3" t="s">
        <v>46</v>
      </c>
      <c r="C2" s="3">
        <v>900.0</v>
      </c>
      <c r="D2" s="3">
        <v>520.0</v>
      </c>
      <c r="E2" s="3">
        <v>40.0</v>
      </c>
      <c r="F2" s="3">
        <f t="shared" ref="F2:F11" si="1">D2-E2</f>
        <v>480</v>
      </c>
      <c r="G2" s="3">
        <f t="shared" ref="G2:G11" si="2">C2*F2</f>
        <v>432000</v>
      </c>
      <c r="H2" s="3">
        <f t="shared" ref="H2:H11" si="3">G2*15/100</f>
        <v>64800</v>
      </c>
      <c r="I2" s="3">
        <f t="shared" ref="I2:I11" si="4">C2*15/100</f>
        <v>135</v>
      </c>
      <c r="J2" s="4">
        <v>90.0</v>
      </c>
      <c r="K2" s="4">
        <v>15.0</v>
      </c>
      <c r="L2" s="4">
        <v>60.0</v>
      </c>
      <c r="M2" s="3" t="s">
        <v>47</v>
      </c>
      <c r="N2" s="3">
        <f t="shared" ref="N2:N11" si="5">I2+J2+K2+L2+M2</f>
        <v>700</v>
      </c>
      <c r="O2" s="3">
        <f t="shared" ref="O2:O11" si="6">C2-N2</f>
        <v>200</v>
      </c>
      <c r="P2" s="3">
        <f t="shared" ref="P2:P11" si="7">O2*F2</f>
        <v>96000</v>
      </c>
      <c r="Q2" s="5">
        <f t="shared" ref="Q2:Q11" si="8">O2/C2*100</f>
        <v>22.22222222</v>
      </c>
      <c r="R2" s="3">
        <f t="shared" ref="R2:R11" si="9">V2/U2</f>
        <v>0.05</v>
      </c>
      <c r="S2" s="3" t="s">
        <v>48</v>
      </c>
      <c r="T2" s="5">
        <f t="shared" ref="T2:T11" si="10">(L2*F2)/G2*100</f>
        <v>6.666666667</v>
      </c>
      <c r="U2" s="4">
        <v>13000.0</v>
      </c>
      <c r="V2" s="4">
        <v>650.0</v>
      </c>
      <c r="W2" s="3">
        <f t="shared" ref="W2:W11" si="11">ROUND(V2*X2/100,0)</f>
        <v>65</v>
      </c>
      <c r="X2" s="4">
        <v>10.0</v>
      </c>
      <c r="Y2" s="3" t="s">
        <v>49</v>
      </c>
      <c r="Z2" s="3" t="s">
        <v>50</v>
      </c>
      <c r="AA2" s="3" t="s">
        <v>51</v>
      </c>
      <c r="AB2" s="3">
        <v>620.0</v>
      </c>
      <c r="AC2" s="3" t="str">
        <f t="shared" ref="AC2:AC11" si="12">IF(P2&lt;0,"Убыточный",
 IF(Q2&lt;15,"Слабая маржа",
 IF(Q2&lt;=25,"Нормальная маржа",
 "Сильная маржа")))</f>
        <v>Нормальная маржа</v>
      </c>
      <c r="AD2" s="3" t="str">
        <f t="shared" ref="AD2:AD11" si="13">IF(T2&gt;25,"Реклама дорогая",
 IF(T2&gt;=15,"Реклама под контролем",
 "Реклама эффективная"))</f>
        <v>Реклама эффективная</v>
      </c>
      <c r="AE2" s="3" t="str">
        <f t="shared" ref="AE2:AE11" si="14">IF(VALUE(Z2)&gt;35,"Медленная",IF(VALUE(Z2)&gt;=20,"Нормальная","Хорошая"))</f>
        <v>Нормальная</v>
      </c>
      <c r="AF2" s="6">
        <f t="shared" ref="AF2:AF11" si="15">P2/SUM($P$2:$P$11)</f>
        <v>0.132553477</v>
      </c>
      <c r="AG2" s="5">
        <f>AF2</f>
        <v>0.132553477</v>
      </c>
      <c r="AH2" s="3" t="str">
        <f t="shared" ref="AH2:AH11" si="16">IF(VALUE(AG2)&lt;=0.8,"A",IF(VALUE(AG2)&lt;=0.95,"B","C"))</f>
        <v>A</v>
      </c>
      <c r="AI2" s="3" t="str">
        <f t="shared" ref="AI2:AI11" si="17">IF(AND(AH2="A",AC2&lt;&gt;"Слабая маржа",OR(AD2="Реклама эффективная",AD2="Реклама под контролем")),"Масштабировать",
 IF(AND(OR(AH2="A",AH2="B"),AD2="Реклама дорогая"),"Оптимизировать рекламу",
 IF(AND(AC2="Слабая маржа",AH2&lt;&gt;"C"),"Пересмотреть цену/себестоимость",
 IF(AND(AH2="C",AE2="Медленная"),"Снижать остатки",
 "Пересмотреть SKU"))))</f>
        <v>Масштабировать</v>
      </c>
      <c r="AJ2" s="7">
        <f t="shared" ref="AJ2:AJ11" si="18">C2*1.05</f>
        <v>945</v>
      </c>
      <c r="AK2" s="3">
        <f t="shared" ref="AK2:AK11" si="19">F2*AJ2</f>
        <v>453600</v>
      </c>
      <c r="AL2" s="5">
        <f t="shared" ref="AL2:AL11" si="20">T2*0.8</f>
        <v>5.333333333</v>
      </c>
      <c r="AM2" s="8">
        <f t="shared" ref="AM2:AM11" si="21">AK2*AL2/100</f>
        <v>24192</v>
      </c>
      <c r="AN2" s="3">
        <f t="shared" ref="AN2:AN11" si="22">AJ2*15%</f>
        <v>141.75</v>
      </c>
      <c r="AO2" s="3">
        <f t="shared" ref="AO2:AO11" si="23">AK2-(AN2*F2)-(J2*F2)-(K2*F2)-AM2-(M2*F2)</f>
        <v>118968</v>
      </c>
      <c r="AP2" s="5">
        <f t="shared" ref="AP2:AP11" si="24">(AO2-P2)/P2</f>
        <v>0.23925</v>
      </c>
      <c r="AQ2" s="3" t="str">
        <f t="shared" ref="AQ2:AQ11" si="25">IF(AH2="A","Масштабировать",
IF(AJ2="B","Умеренно масштабировать",
"Проверить спрос"))</f>
        <v>Масштабировать</v>
      </c>
      <c r="AR2" s="3" t="str">
        <f t="shared" ref="AR2:AR11" si="26">IF(AQ2="Масштабировать","Высокий",
IF(AQ2="Умеренно масштабировать","Средний",
"Низкий"))</f>
        <v>Высокий</v>
      </c>
      <c r="AS2" s="3">
        <f t="shared" ref="AS2:AS11" si="27">IF(AR2="Высокий",3,IF(AR2="Средний",2,1))</f>
        <v>3</v>
      </c>
    </row>
    <row r="3">
      <c r="A3" s="3" t="s">
        <v>52</v>
      </c>
      <c r="B3" s="3" t="s">
        <v>53</v>
      </c>
      <c r="C3" s="3">
        <v>600.0</v>
      </c>
      <c r="D3" s="3">
        <v>720.0</v>
      </c>
      <c r="E3" s="3">
        <v>55.0</v>
      </c>
      <c r="F3" s="3">
        <f t="shared" si="1"/>
        <v>665</v>
      </c>
      <c r="G3" s="3">
        <f t="shared" si="2"/>
        <v>399000</v>
      </c>
      <c r="H3" s="3">
        <f t="shared" si="3"/>
        <v>59850</v>
      </c>
      <c r="I3" s="3">
        <f t="shared" si="4"/>
        <v>90</v>
      </c>
      <c r="J3" s="4">
        <v>70.0</v>
      </c>
      <c r="K3" s="4">
        <v>10.0</v>
      </c>
      <c r="L3" s="4">
        <v>40.0</v>
      </c>
      <c r="M3" s="3" t="s">
        <v>54</v>
      </c>
      <c r="N3" s="3">
        <f t="shared" si="5"/>
        <v>460</v>
      </c>
      <c r="O3" s="3">
        <f t="shared" si="6"/>
        <v>140</v>
      </c>
      <c r="P3" s="3">
        <f t="shared" si="7"/>
        <v>93100</v>
      </c>
      <c r="Q3" s="5">
        <f t="shared" si="8"/>
        <v>23.33333333</v>
      </c>
      <c r="R3" s="3">
        <f t="shared" si="9"/>
        <v>0.06</v>
      </c>
      <c r="S3" s="3" t="s">
        <v>55</v>
      </c>
      <c r="T3" s="5">
        <f t="shared" si="10"/>
        <v>6.666666667</v>
      </c>
      <c r="U3" s="4">
        <v>17000.0</v>
      </c>
      <c r="V3" s="4">
        <v>1020.0</v>
      </c>
      <c r="W3" s="3">
        <f t="shared" si="11"/>
        <v>61</v>
      </c>
      <c r="X3" s="4">
        <v>6.0</v>
      </c>
      <c r="Y3" s="3" t="s">
        <v>47</v>
      </c>
      <c r="Z3" s="3" t="s">
        <v>56</v>
      </c>
      <c r="AA3" s="3" t="s">
        <v>57</v>
      </c>
      <c r="AB3" s="3">
        <v>190.0</v>
      </c>
      <c r="AC3" s="3" t="str">
        <f t="shared" si="12"/>
        <v>Нормальная маржа</v>
      </c>
      <c r="AD3" s="3" t="str">
        <f t="shared" si="13"/>
        <v>Реклама эффективная</v>
      </c>
      <c r="AE3" s="3" t="str">
        <f t="shared" si="14"/>
        <v>Хорошая</v>
      </c>
      <c r="AF3" s="6">
        <f t="shared" si="15"/>
        <v>0.1285492574</v>
      </c>
      <c r="AG3" s="5">
        <f t="shared" ref="AG3:AG11" si="28">AG2+AF3</f>
        <v>0.2611027345</v>
      </c>
      <c r="AH3" s="3" t="str">
        <f t="shared" si="16"/>
        <v>A</v>
      </c>
      <c r="AI3" s="3" t="str">
        <f t="shared" si="17"/>
        <v>Масштабировать</v>
      </c>
      <c r="AJ3" s="7">
        <f t="shared" si="18"/>
        <v>630</v>
      </c>
      <c r="AK3" s="3">
        <f t="shared" si="19"/>
        <v>418950</v>
      </c>
      <c r="AL3" s="5">
        <f t="shared" si="20"/>
        <v>5.333333333</v>
      </c>
      <c r="AM3" s="8">
        <f t="shared" si="21"/>
        <v>22344</v>
      </c>
      <c r="AN3" s="3">
        <f t="shared" si="22"/>
        <v>94.5</v>
      </c>
      <c r="AO3" s="3">
        <f t="shared" si="23"/>
        <v>114313.5</v>
      </c>
      <c r="AP3" s="5">
        <f t="shared" si="24"/>
        <v>0.2278571429</v>
      </c>
      <c r="AQ3" s="3" t="str">
        <f t="shared" si="25"/>
        <v>Масштабировать</v>
      </c>
      <c r="AR3" s="3" t="str">
        <f t="shared" si="26"/>
        <v>Высокий</v>
      </c>
      <c r="AS3" s="3">
        <f t="shared" si="27"/>
        <v>3</v>
      </c>
    </row>
    <row r="4">
      <c r="A4" s="3" t="s">
        <v>58</v>
      </c>
      <c r="B4" s="3" t="s">
        <v>59</v>
      </c>
      <c r="C4" s="3">
        <v>700.0</v>
      </c>
      <c r="D4" s="3">
        <v>610.0</v>
      </c>
      <c r="E4" s="3">
        <v>35.0</v>
      </c>
      <c r="F4" s="3">
        <f t="shared" si="1"/>
        <v>575</v>
      </c>
      <c r="G4" s="3">
        <f t="shared" si="2"/>
        <v>402500</v>
      </c>
      <c r="H4" s="3">
        <f t="shared" si="3"/>
        <v>60375</v>
      </c>
      <c r="I4" s="3">
        <f t="shared" si="4"/>
        <v>105</v>
      </c>
      <c r="J4" s="4">
        <v>80.0</v>
      </c>
      <c r="K4" s="4">
        <v>12.0</v>
      </c>
      <c r="L4" s="4">
        <v>50.0</v>
      </c>
      <c r="M4" s="3" t="s">
        <v>49</v>
      </c>
      <c r="N4" s="3">
        <f t="shared" si="5"/>
        <v>547</v>
      </c>
      <c r="O4" s="3">
        <f t="shared" si="6"/>
        <v>153</v>
      </c>
      <c r="P4" s="3">
        <f t="shared" si="7"/>
        <v>87975</v>
      </c>
      <c r="Q4" s="5">
        <f t="shared" si="8"/>
        <v>21.85714286</v>
      </c>
      <c r="R4" s="3">
        <f t="shared" si="9"/>
        <v>0.03</v>
      </c>
      <c r="S4" s="3" t="s">
        <v>60</v>
      </c>
      <c r="T4" s="5">
        <f t="shared" si="10"/>
        <v>7.142857143</v>
      </c>
      <c r="U4" s="4">
        <v>11000.0</v>
      </c>
      <c r="V4" s="4">
        <v>330.0</v>
      </c>
      <c r="W4" s="3">
        <f t="shared" si="11"/>
        <v>40</v>
      </c>
      <c r="X4" s="4">
        <v>12.0</v>
      </c>
      <c r="Y4" s="3" t="s">
        <v>54</v>
      </c>
      <c r="Z4" s="3" t="s">
        <v>61</v>
      </c>
      <c r="AA4" s="3" t="s">
        <v>62</v>
      </c>
      <c r="AB4" s="3">
        <v>150.0</v>
      </c>
      <c r="AC4" s="3" t="str">
        <f t="shared" si="12"/>
        <v>Нормальная маржа</v>
      </c>
      <c r="AD4" s="3" t="str">
        <f t="shared" si="13"/>
        <v>Реклама эффективная</v>
      </c>
      <c r="AE4" s="3" t="str">
        <f t="shared" si="14"/>
        <v>Хорошая</v>
      </c>
      <c r="AF4" s="6">
        <f t="shared" si="15"/>
        <v>0.1214728348</v>
      </c>
      <c r="AG4" s="5">
        <f t="shared" si="28"/>
        <v>0.3825755693</v>
      </c>
      <c r="AH4" s="3" t="str">
        <f t="shared" si="16"/>
        <v>A</v>
      </c>
      <c r="AI4" s="3" t="str">
        <f t="shared" si="17"/>
        <v>Масштабировать</v>
      </c>
      <c r="AJ4" s="7">
        <f t="shared" si="18"/>
        <v>735</v>
      </c>
      <c r="AK4" s="3">
        <f t="shared" si="19"/>
        <v>422625</v>
      </c>
      <c r="AL4" s="5">
        <f t="shared" si="20"/>
        <v>5.714285714</v>
      </c>
      <c r="AM4" s="8">
        <f t="shared" si="21"/>
        <v>24150</v>
      </c>
      <c r="AN4" s="3">
        <f t="shared" si="22"/>
        <v>110.25</v>
      </c>
      <c r="AO4" s="3">
        <f t="shared" si="23"/>
        <v>109681.25</v>
      </c>
      <c r="AP4" s="5">
        <f t="shared" si="24"/>
        <v>0.2467320261</v>
      </c>
      <c r="AQ4" s="3" t="str">
        <f t="shared" si="25"/>
        <v>Масштабировать</v>
      </c>
      <c r="AR4" s="3" t="str">
        <f t="shared" si="26"/>
        <v>Высокий</v>
      </c>
      <c r="AS4" s="3">
        <f t="shared" si="27"/>
        <v>3</v>
      </c>
    </row>
    <row r="5">
      <c r="A5" s="3" t="s">
        <v>63</v>
      </c>
      <c r="B5" s="3" t="s">
        <v>64</v>
      </c>
      <c r="C5" s="3">
        <v>500.0</v>
      </c>
      <c r="D5" s="3">
        <v>680.0</v>
      </c>
      <c r="E5" s="3">
        <v>48.0</v>
      </c>
      <c r="F5" s="3">
        <f t="shared" si="1"/>
        <v>632</v>
      </c>
      <c r="G5" s="3">
        <f t="shared" si="2"/>
        <v>316000</v>
      </c>
      <c r="H5" s="3">
        <f t="shared" si="3"/>
        <v>47400</v>
      </c>
      <c r="I5" s="3">
        <f t="shared" si="4"/>
        <v>75</v>
      </c>
      <c r="J5" s="4">
        <v>60.0</v>
      </c>
      <c r="K5" s="4">
        <v>10.0</v>
      </c>
      <c r="L5" s="4">
        <v>35.0</v>
      </c>
      <c r="M5" s="3" t="s">
        <v>65</v>
      </c>
      <c r="N5" s="3">
        <f t="shared" si="5"/>
        <v>380</v>
      </c>
      <c r="O5" s="3">
        <f t="shared" si="6"/>
        <v>120</v>
      </c>
      <c r="P5" s="3">
        <f t="shared" si="7"/>
        <v>75840</v>
      </c>
      <c r="Q5" s="5">
        <f t="shared" si="8"/>
        <v>24</v>
      </c>
      <c r="R5" s="3">
        <f t="shared" si="9"/>
        <v>0.05</v>
      </c>
      <c r="S5" s="3" t="s">
        <v>48</v>
      </c>
      <c r="T5" s="5">
        <f t="shared" si="10"/>
        <v>7</v>
      </c>
      <c r="U5" s="4">
        <v>16000.0</v>
      </c>
      <c r="V5" s="4">
        <v>800.0</v>
      </c>
      <c r="W5" s="3">
        <f t="shared" si="11"/>
        <v>64</v>
      </c>
      <c r="X5" s="4">
        <v>8.0</v>
      </c>
      <c r="Y5" s="3" t="s">
        <v>66</v>
      </c>
      <c r="Z5" s="3" t="s">
        <v>67</v>
      </c>
      <c r="AA5" s="3" t="s">
        <v>62</v>
      </c>
      <c r="AB5" s="3">
        <v>170.0</v>
      </c>
      <c r="AC5" s="3" t="str">
        <f t="shared" si="12"/>
        <v>Нормальная маржа</v>
      </c>
      <c r="AD5" s="3" t="str">
        <f t="shared" si="13"/>
        <v>Реклама эффективная</v>
      </c>
      <c r="AE5" s="3" t="str">
        <f t="shared" si="14"/>
        <v>Хорошая</v>
      </c>
      <c r="AF5" s="6">
        <f t="shared" si="15"/>
        <v>0.1047172469</v>
      </c>
      <c r="AG5" s="5">
        <f t="shared" si="28"/>
        <v>0.4872928162</v>
      </c>
      <c r="AH5" s="3" t="str">
        <f t="shared" si="16"/>
        <v>A</v>
      </c>
      <c r="AI5" s="3" t="str">
        <f t="shared" si="17"/>
        <v>Масштабировать</v>
      </c>
      <c r="AJ5" s="7">
        <f t="shared" si="18"/>
        <v>525</v>
      </c>
      <c r="AK5" s="3">
        <f t="shared" si="19"/>
        <v>331800</v>
      </c>
      <c r="AL5" s="5">
        <f t="shared" si="20"/>
        <v>5.6</v>
      </c>
      <c r="AM5" s="8">
        <f t="shared" si="21"/>
        <v>18580.8</v>
      </c>
      <c r="AN5" s="3">
        <f t="shared" si="22"/>
        <v>78.75</v>
      </c>
      <c r="AO5" s="3">
        <f t="shared" si="23"/>
        <v>92809.2</v>
      </c>
      <c r="AP5" s="5">
        <f t="shared" si="24"/>
        <v>0.22375</v>
      </c>
      <c r="AQ5" s="3" t="str">
        <f t="shared" si="25"/>
        <v>Масштабировать</v>
      </c>
      <c r="AR5" s="3" t="str">
        <f t="shared" si="26"/>
        <v>Высокий</v>
      </c>
      <c r="AS5" s="3">
        <f t="shared" si="27"/>
        <v>3</v>
      </c>
    </row>
    <row r="6">
      <c r="A6" s="3" t="s">
        <v>68</v>
      </c>
      <c r="B6" s="3" t="s">
        <v>69</v>
      </c>
      <c r="C6" s="3">
        <v>1200.0</v>
      </c>
      <c r="D6" s="3">
        <v>450.0</v>
      </c>
      <c r="E6" s="3">
        <v>30.0</v>
      </c>
      <c r="F6" s="3">
        <f t="shared" si="1"/>
        <v>420</v>
      </c>
      <c r="G6" s="3">
        <f t="shared" si="2"/>
        <v>504000</v>
      </c>
      <c r="H6" s="3">
        <f t="shared" si="3"/>
        <v>75600</v>
      </c>
      <c r="I6" s="3">
        <f t="shared" si="4"/>
        <v>180</v>
      </c>
      <c r="J6" s="4">
        <v>100.0</v>
      </c>
      <c r="K6" s="4">
        <v>18.0</v>
      </c>
      <c r="L6" s="4">
        <v>80.0</v>
      </c>
      <c r="M6" s="3" t="s">
        <v>70</v>
      </c>
      <c r="N6" s="3">
        <f t="shared" si="5"/>
        <v>1028</v>
      </c>
      <c r="O6" s="3">
        <f t="shared" si="6"/>
        <v>172</v>
      </c>
      <c r="P6" s="3">
        <f t="shared" si="7"/>
        <v>72240</v>
      </c>
      <c r="Q6" s="5">
        <f t="shared" si="8"/>
        <v>14.33333333</v>
      </c>
      <c r="R6" s="3">
        <f t="shared" si="9"/>
        <v>0.06</v>
      </c>
      <c r="S6" s="3" t="s">
        <v>55</v>
      </c>
      <c r="T6" s="5">
        <f t="shared" si="10"/>
        <v>6.666666667</v>
      </c>
      <c r="U6" s="4">
        <v>15000.0</v>
      </c>
      <c r="V6" s="4">
        <v>900.0</v>
      </c>
      <c r="W6" s="3">
        <f t="shared" si="11"/>
        <v>63</v>
      </c>
      <c r="X6" s="4">
        <v>7.0</v>
      </c>
      <c r="Y6" s="3" t="s">
        <v>65</v>
      </c>
      <c r="Z6" s="3" t="s">
        <v>71</v>
      </c>
      <c r="AA6" s="3" t="s">
        <v>72</v>
      </c>
      <c r="AB6" s="3">
        <v>510.0</v>
      </c>
      <c r="AC6" s="3" t="str">
        <f t="shared" si="12"/>
        <v>Слабая маржа</v>
      </c>
      <c r="AD6" s="3" t="str">
        <f t="shared" si="13"/>
        <v>Реклама эффективная</v>
      </c>
      <c r="AE6" s="3" t="str">
        <f t="shared" si="14"/>
        <v>Нормальная</v>
      </c>
      <c r="AF6" s="6">
        <f t="shared" si="15"/>
        <v>0.09974649148</v>
      </c>
      <c r="AG6" s="5">
        <f t="shared" si="28"/>
        <v>0.5870393076</v>
      </c>
      <c r="AH6" s="3" t="str">
        <f t="shared" si="16"/>
        <v>A</v>
      </c>
      <c r="AI6" s="3" t="str">
        <f t="shared" si="17"/>
        <v>Пересмотреть цену/себестоимость</v>
      </c>
      <c r="AJ6" s="7">
        <f t="shared" si="18"/>
        <v>1260</v>
      </c>
      <c r="AK6" s="3">
        <f t="shared" si="19"/>
        <v>529200</v>
      </c>
      <c r="AL6" s="5">
        <f t="shared" si="20"/>
        <v>5.333333333</v>
      </c>
      <c r="AM6" s="8">
        <f t="shared" si="21"/>
        <v>28224</v>
      </c>
      <c r="AN6" s="3">
        <f t="shared" si="22"/>
        <v>189</v>
      </c>
      <c r="AO6" s="3">
        <f t="shared" si="23"/>
        <v>99036</v>
      </c>
      <c r="AP6" s="5">
        <f t="shared" si="24"/>
        <v>0.3709302326</v>
      </c>
      <c r="AQ6" s="3" t="str">
        <f t="shared" si="25"/>
        <v>Масштабировать</v>
      </c>
      <c r="AR6" s="3" t="str">
        <f t="shared" si="26"/>
        <v>Высокий</v>
      </c>
      <c r="AS6" s="3">
        <f t="shared" si="27"/>
        <v>3</v>
      </c>
    </row>
    <row r="7">
      <c r="A7" s="3" t="s">
        <v>73</v>
      </c>
      <c r="B7" s="3" t="s">
        <v>74</v>
      </c>
      <c r="C7" s="3">
        <v>1500.0</v>
      </c>
      <c r="D7" s="3">
        <v>320.0</v>
      </c>
      <c r="E7" s="3">
        <v>20.0</v>
      </c>
      <c r="F7" s="3">
        <f t="shared" si="1"/>
        <v>300</v>
      </c>
      <c r="G7" s="3">
        <f t="shared" si="2"/>
        <v>450000</v>
      </c>
      <c r="H7" s="3">
        <f t="shared" si="3"/>
        <v>67500</v>
      </c>
      <c r="I7" s="3">
        <f t="shared" si="4"/>
        <v>225</v>
      </c>
      <c r="J7" s="4">
        <v>120.0</v>
      </c>
      <c r="K7" s="4">
        <v>20.0</v>
      </c>
      <c r="L7" s="4">
        <v>100.0</v>
      </c>
      <c r="M7" s="3" t="s">
        <v>75</v>
      </c>
      <c r="N7" s="3">
        <f t="shared" si="5"/>
        <v>1265</v>
      </c>
      <c r="O7" s="3">
        <f t="shared" si="6"/>
        <v>235</v>
      </c>
      <c r="P7" s="3">
        <f t="shared" si="7"/>
        <v>70500</v>
      </c>
      <c r="Q7" s="5">
        <f t="shared" si="8"/>
        <v>15.66666667</v>
      </c>
      <c r="R7" s="3">
        <f t="shared" si="9"/>
        <v>0.05</v>
      </c>
      <c r="S7" s="3" t="s">
        <v>48</v>
      </c>
      <c r="T7" s="5">
        <f t="shared" si="10"/>
        <v>6.666666667</v>
      </c>
      <c r="U7" s="4">
        <v>12000.0</v>
      </c>
      <c r="V7" s="4">
        <v>600.0</v>
      </c>
      <c r="W7" s="3">
        <f t="shared" si="11"/>
        <v>48</v>
      </c>
      <c r="X7" s="4">
        <v>8.0</v>
      </c>
      <c r="Y7" s="3" t="s">
        <v>76</v>
      </c>
      <c r="Z7" s="3" t="s">
        <v>77</v>
      </c>
      <c r="AA7" s="3" t="s">
        <v>78</v>
      </c>
      <c r="AB7" s="3">
        <v>210.0</v>
      </c>
      <c r="AC7" s="3" t="str">
        <f t="shared" si="12"/>
        <v>Нормальная маржа</v>
      </c>
      <c r="AD7" s="3" t="str">
        <f t="shared" si="13"/>
        <v>Реклама эффективная</v>
      </c>
      <c r="AE7" s="3" t="str">
        <f t="shared" si="14"/>
        <v>Нормальная</v>
      </c>
      <c r="AF7" s="6">
        <f t="shared" si="15"/>
        <v>0.0973439597</v>
      </c>
      <c r="AG7" s="5">
        <f t="shared" si="28"/>
        <v>0.6843832673</v>
      </c>
      <c r="AH7" s="3" t="str">
        <f t="shared" si="16"/>
        <v>A</v>
      </c>
      <c r="AI7" s="3" t="str">
        <f t="shared" si="17"/>
        <v>Масштабировать</v>
      </c>
      <c r="AJ7" s="7">
        <f t="shared" si="18"/>
        <v>1575</v>
      </c>
      <c r="AK7" s="3">
        <f t="shared" si="19"/>
        <v>472500</v>
      </c>
      <c r="AL7" s="5">
        <f t="shared" si="20"/>
        <v>5.333333333</v>
      </c>
      <c r="AM7" s="8">
        <f t="shared" si="21"/>
        <v>25200</v>
      </c>
      <c r="AN7" s="3">
        <f t="shared" si="22"/>
        <v>236.25</v>
      </c>
      <c r="AO7" s="3">
        <f t="shared" si="23"/>
        <v>94425</v>
      </c>
      <c r="AP7" s="5">
        <f t="shared" si="24"/>
        <v>0.3393617021</v>
      </c>
      <c r="AQ7" s="3" t="str">
        <f t="shared" si="25"/>
        <v>Масштабировать</v>
      </c>
      <c r="AR7" s="3" t="str">
        <f t="shared" si="26"/>
        <v>Высокий</v>
      </c>
      <c r="AS7" s="3">
        <f t="shared" si="27"/>
        <v>3</v>
      </c>
    </row>
    <row r="8">
      <c r="A8" s="3" t="s">
        <v>79</v>
      </c>
      <c r="B8" s="3" t="s">
        <v>80</v>
      </c>
      <c r="C8" s="3">
        <v>1100.0</v>
      </c>
      <c r="D8" s="3">
        <v>380.0</v>
      </c>
      <c r="E8" s="3">
        <v>25.0</v>
      </c>
      <c r="F8" s="3">
        <f t="shared" si="1"/>
        <v>355</v>
      </c>
      <c r="G8" s="3">
        <f t="shared" si="2"/>
        <v>390500</v>
      </c>
      <c r="H8" s="3">
        <f t="shared" si="3"/>
        <v>58575</v>
      </c>
      <c r="I8" s="3">
        <f t="shared" si="4"/>
        <v>165</v>
      </c>
      <c r="J8" s="4">
        <v>100.0</v>
      </c>
      <c r="K8" s="4">
        <v>17.0</v>
      </c>
      <c r="L8" s="4">
        <v>75.0</v>
      </c>
      <c r="M8" s="3" t="s">
        <v>81</v>
      </c>
      <c r="N8" s="3">
        <f t="shared" si="5"/>
        <v>907</v>
      </c>
      <c r="O8" s="3">
        <f t="shared" si="6"/>
        <v>193</v>
      </c>
      <c r="P8" s="3">
        <f t="shared" si="7"/>
        <v>68515</v>
      </c>
      <c r="Q8" s="5">
        <f t="shared" si="8"/>
        <v>17.54545455</v>
      </c>
      <c r="R8" s="3">
        <f t="shared" si="9"/>
        <v>0.05</v>
      </c>
      <c r="S8" s="3" t="s">
        <v>48</v>
      </c>
      <c r="T8" s="5">
        <f t="shared" si="10"/>
        <v>6.818181818</v>
      </c>
      <c r="U8" s="4">
        <v>10500.0</v>
      </c>
      <c r="V8" s="4">
        <v>525.0</v>
      </c>
      <c r="W8" s="3">
        <f t="shared" si="11"/>
        <v>37</v>
      </c>
      <c r="X8" s="4">
        <v>7.0</v>
      </c>
      <c r="Y8" s="3" t="s">
        <v>82</v>
      </c>
      <c r="Z8" s="3" t="s">
        <v>83</v>
      </c>
      <c r="AA8" s="3" t="s">
        <v>72</v>
      </c>
      <c r="AB8" s="3">
        <v>280.0</v>
      </c>
      <c r="AC8" s="3" t="str">
        <f t="shared" si="12"/>
        <v>Нормальная маржа</v>
      </c>
      <c r="AD8" s="3" t="str">
        <f t="shared" si="13"/>
        <v>Реклама эффективная</v>
      </c>
      <c r="AE8" s="3" t="str">
        <f t="shared" si="14"/>
        <v>Нормальная</v>
      </c>
      <c r="AF8" s="6">
        <f t="shared" si="15"/>
        <v>0.09460314041</v>
      </c>
      <c r="AG8" s="5">
        <f t="shared" si="28"/>
        <v>0.7789864077</v>
      </c>
      <c r="AH8" s="3" t="str">
        <f t="shared" si="16"/>
        <v>A</v>
      </c>
      <c r="AI8" s="3" t="str">
        <f t="shared" si="17"/>
        <v>Масштабировать</v>
      </c>
      <c r="AJ8" s="7">
        <f t="shared" si="18"/>
        <v>1155</v>
      </c>
      <c r="AK8" s="3">
        <f t="shared" si="19"/>
        <v>410025</v>
      </c>
      <c r="AL8" s="5">
        <f t="shared" si="20"/>
        <v>5.454545455</v>
      </c>
      <c r="AM8" s="8">
        <f t="shared" si="21"/>
        <v>22365</v>
      </c>
      <c r="AN8" s="3">
        <f t="shared" si="22"/>
        <v>173.25</v>
      </c>
      <c r="AO8" s="3">
        <f t="shared" si="23"/>
        <v>89371.25</v>
      </c>
      <c r="AP8" s="5">
        <f t="shared" si="24"/>
        <v>0.3044041451</v>
      </c>
      <c r="AQ8" s="3" t="str">
        <f t="shared" si="25"/>
        <v>Масштабировать</v>
      </c>
      <c r="AR8" s="3" t="str">
        <f t="shared" si="26"/>
        <v>Высокий</v>
      </c>
      <c r="AS8" s="3">
        <f t="shared" si="27"/>
        <v>3</v>
      </c>
    </row>
    <row r="9">
      <c r="A9" s="3" t="s">
        <v>84</v>
      </c>
      <c r="B9" s="3" t="s">
        <v>85</v>
      </c>
      <c r="C9" s="3">
        <v>1300.0</v>
      </c>
      <c r="D9" s="3">
        <v>340.0</v>
      </c>
      <c r="E9" s="3">
        <v>22.0</v>
      </c>
      <c r="F9" s="3">
        <f t="shared" si="1"/>
        <v>318</v>
      </c>
      <c r="G9" s="3">
        <f t="shared" si="2"/>
        <v>413400</v>
      </c>
      <c r="H9" s="3">
        <f t="shared" si="3"/>
        <v>62010</v>
      </c>
      <c r="I9" s="3">
        <f t="shared" si="4"/>
        <v>195</v>
      </c>
      <c r="J9" s="4">
        <v>110.0</v>
      </c>
      <c r="K9" s="4">
        <v>20.0</v>
      </c>
      <c r="L9" s="4">
        <v>90.0</v>
      </c>
      <c r="M9" s="3" t="s">
        <v>86</v>
      </c>
      <c r="N9" s="3">
        <f t="shared" si="5"/>
        <v>1115</v>
      </c>
      <c r="O9" s="3">
        <f t="shared" si="6"/>
        <v>185</v>
      </c>
      <c r="P9" s="3">
        <f t="shared" si="7"/>
        <v>58830</v>
      </c>
      <c r="Q9" s="5">
        <f t="shared" si="8"/>
        <v>14.23076923</v>
      </c>
      <c r="R9" s="3">
        <f t="shared" si="9"/>
        <v>0.05</v>
      </c>
      <c r="S9" s="3" t="s">
        <v>48</v>
      </c>
      <c r="T9" s="5">
        <f t="shared" si="10"/>
        <v>6.923076923</v>
      </c>
      <c r="U9" s="4">
        <v>14000.0</v>
      </c>
      <c r="V9" s="4">
        <v>700.0</v>
      </c>
      <c r="W9" s="3">
        <f t="shared" si="11"/>
        <v>56</v>
      </c>
      <c r="X9" s="4">
        <v>8.0</v>
      </c>
      <c r="Y9" s="3" t="s">
        <v>87</v>
      </c>
      <c r="Z9" s="3" t="s">
        <v>88</v>
      </c>
      <c r="AA9" s="3" t="s">
        <v>78</v>
      </c>
      <c r="AB9" s="3">
        <v>420.0</v>
      </c>
      <c r="AC9" s="3" t="str">
        <f t="shared" si="12"/>
        <v>Слабая маржа</v>
      </c>
      <c r="AD9" s="3" t="str">
        <f t="shared" si="13"/>
        <v>Реклама эффективная</v>
      </c>
      <c r="AE9" s="3" t="str">
        <f t="shared" si="14"/>
        <v>Нормальная</v>
      </c>
      <c r="AF9" s="6">
        <f t="shared" si="15"/>
        <v>0.08123042765</v>
      </c>
      <c r="AG9" s="5">
        <f t="shared" si="28"/>
        <v>0.8602168354</v>
      </c>
      <c r="AH9" s="3" t="str">
        <f t="shared" si="16"/>
        <v>B</v>
      </c>
      <c r="AI9" s="3" t="str">
        <f t="shared" si="17"/>
        <v>Пересмотреть цену/себестоимость</v>
      </c>
      <c r="AJ9" s="7">
        <f t="shared" si="18"/>
        <v>1365</v>
      </c>
      <c r="AK9" s="3">
        <f t="shared" si="19"/>
        <v>434070</v>
      </c>
      <c r="AL9" s="5">
        <f t="shared" si="20"/>
        <v>5.538461538</v>
      </c>
      <c r="AM9" s="8">
        <f t="shared" si="21"/>
        <v>24040.8</v>
      </c>
      <c r="AN9" s="3">
        <f t="shared" si="22"/>
        <v>204.75</v>
      </c>
      <c r="AO9" s="3">
        <f t="shared" si="23"/>
        <v>80978.7</v>
      </c>
      <c r="AP9" s="5">
        <f t="shared" si="24"/>
        <v>0.3764864865</v>
      </c>
      <c r="AQ9" s="3" t="str">
        <f t="shared" si="25"/>
        <v>Проверить спрос</v>
      </c>
      <c r="AR9" s="3" t="str">
        <f t="shared" si="26"/>
        <v>Низкий</v>
      </c>
      <c r="AS9" s="3">
        <f t="shared" si="27"/>
        <v>1</v>
      </c>
    </row>
    <row r="10">
      <c r="A10" s="3" t="s">
        <v>89</v>
      </c>
      <c r="B10" s="3" t="s">
        <v>90</v>
      </c>
      <c r="C10" s="3">
        <v>1700.0</v>
      </c>
      <c r="D10" s="3">
        <v>260.0</v>
      </c>
      <c r="E10" s="3">
        <v>18.0</v>
      </c>
      <c r="F10" s="3">
        <f t="shared" si="1"/>
        <v>242</v>
      </c>
      <c r="G10" s="3">
        <f t="shared" si="2"/>
        <v>411400</v>
      </c>
      <c r="H10" s="3">
        <f t="shared" si="3"/>
        <v>61710</v>
      </c>
      <c r="I10" s="3">
        <f t="shared" si="4"/>
        <v>255</v>
      </c>
      <c r="J10" s="4">
        <v>130.0</v>
      </c>
      <c r="K10" s="4">
        <v>22.0</v>
      </c>
      <c r="L10" s="4">
        <v>110.0</v>
      </c>
      <c r="M10" s="3" t="s">
        <v>91</v>
      </c>
      <c r="N10" s="3">
        <f t="shared" si="5"/>
        <v>1467</v>
      </c>
      <c r="O10" s="3">
        <f t="shared" si="6"/>
        <v>233</v>
      </c>
      <c r="P10" s="3">
        <f t="shared" si="7"/>
        <v>56386</v>
      </c>
      <c r="Q10" s="5">
        <f t="shared" si="8"/>
        <v>13.70588235</v>
      </c>
      <c r="R10" s="3">
        <f t="shared" si="9"/>
        <v>0.04</v>
      </c>
      <c r="S10" s="3" t="s">
        <v>92</v>
      </c>
      <c r="T10" s="5">
        <f t="shared" si="10"/>
        <v>6.470588235</v>
      </c>
      <c r="U10" s="4">
        <v>9000.0</v>
      </c>
      <c r="V10" s="4">
        <v>360.0</v>
      </c>
      <c r="W10" s="3">
        <f t="shared" si="11"/>
        <v>32</v>
      </c>
      <c r="X10" s="4">
        <v>9.0</v>
      </c>
      <c r="Y10" s="3" t="s">
        <v>93</v>
      </c>
      <c r="Z10" s="3" t="s">
        <v>94</v>
      </c>
      <c r="AA10" s="3" t="s">
        <v>95</v>
      </c>
      <c r="AB10" s="3">
        <v>310.0</v>
      </c>
      <c r="AC10" s="3" t="str">
        <f t="shared" si="12"/>
        <v>Слабая маржа</v>
      </c>
      <c r="AD10" s="3" t="str">
        <f t="shared" si="13"/>
        <v>Реклама эффективная</v>
      </c>
      <c r="AE10" s="3" t="str">
        <f t="shared" si="14"/>
        <v>Нормальная</v>
      </c>
      <c r="AF10" s="6">
        <f t="shared" si="15"/>
        <v>0.07785583705</v>
      </c>
      <c r="AG10" s="5">
        <f t="shared" si="28"/>
        <v>0.9380726724</v>
      </c>
      <c r="AH10" s="3" t="str">
        <f t="shared" si="16"/>
        <v>B</v>
      </c>
      <c r="AI10" s="3" t="str">
        <f t="shared" si="17"/>
        <v>Пересмотреть цену/себестоимость</v>
      </c>
      <c r="AJ10" s="7">
        <f t="shared" si="18"/>
        <v>1785</v>
      </c>
      <c r="AK10" s="3">
        <f t="shared" si="19"/>
        <v>431970</v>
      </c>
      <c r="AL10" s="5">
        <f t="shared" si="20"/>
        <v>5.176470588</v>
      </c>
      <c r="AM10" s="8">
        <f t="shared" si="21"/>
        <v>22360.8</v>
      </c>
      <c r="AN10" s="3">
        <f t="shared" si="22"/>
        <v>267.75</v>
      </c>
      <c r="AO10" s="3">
        <f t="shared" si="23"/>
        <v>78129.7</v>
      </c>
      <c r="AP10" s="5">
        <f t="shared" si="24"/>
        <v>0.3856223176</v>
      </c>
      <c r="AQ10" s="3" t="str">
        <f t="shared" si="25"/>
        <v>Проверить спрос</v>
      </c>
      <c r="AR10" s="3" t="str">
        <f t="shared" si="26"/>
        <v>Низкий</v>
      </c>
      <c r="AS10" s="3">
        <f t="shared" si="27"/>
        <v>1</v>
      </c>
    </row>
    <row r="11">
      <c r="A11" s="3" t="s">
        <v>96</v>
      </c>
      <c r="B11" s="3" t="s">
        <v>97</v>
      </c>
      <c r="C11" s="3">
        <v>1900.0</v>
      </c>
      <c r="D11" s="3">
        <v>210.0</v>
      </c>
      <c r="E11" s="3">
        <v>15.0</v>
      </c>
      <c r="F11" s="3">
        <f t="shared" si="1"/>
        <v>195</v>
      </c>
      <c r="G11" s="3">
        <f t="shared" si="2"/>
        <v>370500</v>
      </c>
      <c r="H11" s="3">
        <f t="shared" si="3"/>
        <v>55575</v>
      </c>
      <c r="I11" s="3">
        <f t="shared" si="4"/>
        <v>285</v>
      </c>
      <c r="J11" s="4">
        <v>140.0</v>
      </c>
      <c r="K11" s="4">
        <v>25.0</v>
      </c>
      <c r="L11" s="4">
        <v>120.0</v>
      </c>
      <c r="M11" s="3" t="s">
        <v>98</v>
      </c>
      <c r="N11" s="3">
        <f t="shared" si="5"/>
        <v>1670</v>
      </c>
      <c r="O11" s="3">
        <f t="shared" si="6"/>
        <v>230</v>
      </c>
      <c r="P11" s="3">
        <f t="shared" si="7"/>
        <v>44850</v>
      </c>
      <c r="Q11" s="5">
        <f t="shared" si="8"/>
        <v>12.10526316</v>
      </c>
      <c r="R11" s="3">
        <f t="shared" si="9"/>
        <v>0.04</v>
      </c>
      <c r="S11" s="3" t="s">
        <v>92</v>
      </c>
      <c r="T11" s="5">
        <f t="shared" si="10"/>
        <v>6.315789474</v>
      </c>
      <c r="U11" s="4">
        <v>10000.0</v>
      </c>
      <c r="V11" s="4">
        <v>400.0</v>
      </c>
      <c r="W11" s="3">
        <f t="shared" si="11"/>
        <v>36</v>
      </c>
      <c r="X11" s="4">
        <v>9.0</v>
      </c>
      <c r="Y11" s="3" t="s">
        <v>99</v>
      </c>
      <c r="Z11" s="3" t="s">
        <v>100</v>
      </c>
      <c r="AA11" s="3" t="s">
        <v>95</v>
      </c>
      <c r="AB11" s="3">
        <v>340.0</v>
      </c>
      <c r="AC11" s="3" t="str">
        <f t="shared" si="12"/>
        <v>Слабая маржа</v>
      </c>
      <c r="AD11" s="3" t="str">
        <f t="shared" si="13"/>
        <v>Реклама эффективная</v>
      </c>
      <c r="AE11" s="3" t="str">
        <f t="shared" si="14"/>
        <v>Нормальная</v>
      </c>
      <c r="AF11" s="6">
        <f t="shared" si="15"/>
        <v>0.06192732756</v>
      </c>
      <c r="AG11" s="5">
        <f t="shared" si="28"/>
        <v>1</v>
      </c>
      <c r="AH11" s="3" t="str">
        <f t="shared" si="16"/>
        <v>C</v>
      </c>
      <c r="AI11" s="3" t="str">
        <f t="shared" si="17"/>
        <v>Пересмотреть SKU</v>
      </c>
      <c r="AJ11" s="7">
        <f t="shared" si="18"/>
        <v>1995</v>
      </c>
      <c r="AK11" s="3">
        <f t="shared" si="19"/>
        <v>389025</v>
      </c>
      <c r="AL11" s="5">
        <f t="shared" si="20"/>
        <v>5.052631579</v>
      </c>
      <c r="AM11" s="8">
        <f t="shared" si="21"/>
        <v>19656</v>
      </c>
      <c r="AN11" s="3">
        <f t="shared" si="22"/>
        <v>299.25</v>
      </c>
      <c r="AO11" s="3">
        <f t="shared" si="23"/>
        <v>64340.25</v>
      </c>
      <c r="AP11" s="5">
        <f t="shared" si="24"/>
        <v>0.4345652174</v>
      </c>
      <c r="AQ11" s="3" t="str">
        <f t="shared" si="25"/>
        <v>Проверить спрос</v>
      </c>
      <c r="AR11" s="3" t="str">
        <f t="shared" si="26"/>
        <v>Низкий</v>
      </c>
      <c r="AS11" s="3">
        <f t="shared" si="27"/>
        <v>1</v>
      </c>
    </row>
    <row r="12">
      <c r="AJ12" s="9"/>
    </row>
    <row r="14">
      <c r="B14" s="4" t="s">
        <v>101</v>
      </c>
    </row>
    <row r="15">
      <c r="B15" s="4" t="s">
        <v>102</v>
      </c>
    </row>
    <row r="17">
      <c r="B17" s="4" t="s">
        <v>103</v>
      </c>
    </row>
    <row r="18">
      <c r="B18" s="4" t="s">
        <v>104</v>
      </c>
    </row>
    <row r="19">
      <c r="B19" s="4" t="s">
        <v>105</v>
      </c>
    </row>
    <row r="20">
      <c r="B20" s="4" t="s">
        <v>106</v>
      </c>
    </row>
    <row r="21">
      <c r="B21" s="4" t="s">
        <v>107</v>
      </c>
    </row>
    <row r="22">
      <c r="B22" s="4" t="s">
        <v>108</v>
      </c>
    </row>
    <row r="23">
      <c r="B23" s="4" t="s">
        <v>109</v>
      </c>
    </row>
    <row r="24">
      <c r="B24" s="4" t="s">
        <v>110</v>
      </c>
    </row>
    <row r="26">
      <c r="B26" s="4" t="s">
        <v>111</v>
      </c>
    </row>
    <row r="27">
      <c r="B27" s="4" t="s">
        <v>112</v>
      </c>
    </row>
    <row r="28">
      <c r="B28" s="4" t="s">
        <v>113</v>
      </c>
    </row>
    <row r="29">
      <c r="B29" s="4" t="s">
        <v>114</v>
      </c>
    </row>
    <row r="30">
      <c r="B30" s="4" t="s">
        <v>115</v>
      </c>
    </row>
    <row r="31">
      <c r="B31" s="4" t="s">
        <v>116</v>
      </c>
    </row>
    <row r="32">
      <c r="B32" s="4" t="s">
        <v>117</v>
      </c>
    </row>
    <row r="33">
      <c r="B33" s="4" t="s">
        <v>118</v>
      </c>
    </row>
    <row r="34">
      <c r="B34" s="4" t="s">
        <v>119</v>
      </c>
    </row>
    <row r="35">
      <c r="B35" s="4" t="s">
        <v>120</v>
      </c>
    </row>
    <row r="36">
      <c r="B36" s="4" t="s">
        <v>121</v>
      </c>
    </row>
    <row r="38">
      <c r="B38" s="4" t="s">
        <v>122</v>
      </c>
    </row>
    <row r="41">
      <c r="B41" s="4" t="s">
        <v>123</v>
      </c>
    </row>
    <row r="42">
      <c r="B42" s="4" t="s">
        <v>124</v>
      </c>
    </row>
    <row r="43">
      <c r="B43" s="4" t="s">
        <v>125</v>
      </c>
    </row>
    <row r="44">
      <c r="B44" s="4" t="s">
        <v>126</v>
      </c>
    </row>
    <row r="45">
      <c r="B45" s="4" t="s">
        <v>127</v>
      </c>
    </row>
    <row r="47">
      <c r="B47" s="4" t="s">
        <v>128</v>
      </c>
    </row>
    <row r="49">
      <c r="B49" s="4" t="s">
        <v>34</v>
      </c>
    </row>
    <row r="50">
      <c r="B50" s="4" t="s">
        <v>129</v>
      </c>
    </row>
    <row r="51">
      <c r="B51" s="4" t="s">
        <v>130</v>
      </c>
    </row>
    <row r="52">
      <c r="B52" s="4" t="s">
        <v>131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>
      <c r="N98" s="10"/>
      <c r="O98" s="10"/>
      <c r="Q98" s="10"/>
      <c r="R98" s="10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>
      <c r="B117" s="4" t="s">
        <v>132</v>
      </c>
    </row>
    <row r="118" ht="15.75" customHeight="1"/>
    <row r="119" ht="15.75" customHeight="1">
      <c r="B119" s="4" t="s">
        <v>133</v>
      </c>
      <c r="C119" s="4" t="s">
        <v>134</v>
      </c>
    </row>
    <row r="120" ht="15.75" customHeight="1">
      <c r="B120" s="4">
        <v>1.0</v>
      </c>
      <c r="C120" s="4" t="s">
        <v>135</v>
      </c>
    </row>
    <row r="121" ht="15.75" customHeight="1">
      <c r="B121" s="4">
        <v>2.0</v>
      </c>
      <c r="C121" s="4" t="s">
        <v>136</v>
      </c>
    </row>
    <row r="122" ht="15.75" customHeight="1">
      <c r="B122" s="4">
        <v>3.0</v>
      </c>
      <c r="C122" s="4" t="s">
        <v>137</v>
      </c>
    </row>
    <row r="123" ht="15.75" customHeight="1">
      <c r="B123" s="4">
        <v>4.0</v>
      </c>
      <c r="C123" s="4" t="s">
        <v>138</v>
      </c>
    </row>
    <row r="124" ht="15.75" customHeight="1">
      <c r="B124" s="4">
        <v>5.0</v>
      </c>
      <c r="C124" s="4" t="s">
        <v>139</v>
      </c>
    </row>
    <row r="125" ht="15.75" customHeight="1"/>
    <row r="126" ht="15.75" customHeight="1"/>
    <row r="127" ht="15.75" customHeight="1"/>
    <row r="128" ht="15.75" customHeight="1">
      <c r="B128" s="4" t="s">
        <v>140</v>
      </c>
    </row>
    <row r="129" ht="15.75" customHeight="1">
      <c r="B129" s="4" t="s">
        <v>141</v>
      </c>
    </row>
    <row r="130" ht="15.75" customHeight="1">
      <c r="B130" s="4" t="s">
        <v>142</v>
      </c>
    </row>
    <row r="131" ht="15.75" customHeight="1">
      <c r="B131" s="4" t="s">
        <v>143</v>
      </c>
    </row>
    <row r="132" ht="15.75" customHeight="1">
      <c r="B132" s="4" t="s">
        <v>144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</sheetData>
  <autoFilter ref="$A$1:$AS$12"/>
  <conditionalFormatting sqref="H66">
    <cfRule type="notContainsBlanks" dxfId="0" priority="1">
      <formula>LEN(TRIM(H66))&gt;0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8.0"/>
  </cols>
  <sheetData>
    <row r="1">
      <c r="A1" s="4" t="s">
        <v>145</v>
      </c>
      <c r="B1" s="4" t="s">
        <v>15</v>
      </c>
      <c r="C1" s="4" t="s">
        <v>146</v>
      </c>
      <c r="D1" s="4" t="s">
        <v>146</v>
      </c>
    </row>
    <row r="3">
      <c r="A3" s="3">
        <f>SUM(WB_Report_Data!G2:G11)</f>
        <v>4089300</v>
      </c>
      <c r="B3" s="3">
        <f>SUM(WB_Report_Data!P2:P11)</f>
        <v>724236</v>
      </c>
      <c r="C3" s="5">
        <f>AVERAGE(WB_Report_Data!Q2:Q11)</f>
        <v>17.90000677</v>
      </c>
      <c r="D3" s="5">
        <f>AVERAGE(WB_Report_Data!T2:T11)</f>
        <v>6.733716026</v>
      </c>
    </row>
  </sheetData>
  <drawing r:id="rId1"/>
</worksheet>
</file>